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puts" sheetId="2" state="visible" r:id="rId4"/>
    <sheet name="ROI Model" sheetId="3" state="visible" r:id="rId5"/>
    <sheet name="Efficiency Metric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<sst xmlns="http://schemas.openxmlformats.org/spreadsheetml/2006/main" count="103" uniqueCount="97">
  <si>
    <t xml:space="preserve">Agentic AI SOC ROI Calculator</t>
  </si>
  <si>
    <t xml:space="preserve">Analyst-efficiency savings + breach-cost avoidance + operational savings, vs. your AI SOC investment</t>
  </si>
  <si>
    <t xml:space="preserve">How to use</t>
  </si>
  <si>
    <t xml:space="preserve">1.  Go to the Inputs tab. Change only the YELLOW cells — they hold your numbers.</t>
  </si>
  <si>
    <t xml:space="preserve">2.  Blue text = an input you can change. Black text = a calculated formula. Don't overwrite black cells.</t>
  </si>
  <si>
    <t xml:space="preserve">3.  Read results on the ROI Model and Summary tabs. Everything recalculates automatically.</t>
  </si>
  <si>
    <t xml:space="preserve">4.  Defaults are pre-filled from published benchmarks (IBM 2025 breach data, ZipRecruiter, industry consensus).</t>
  </si>
  <si>
    <t xml:space="preserve">The three-bucket model</t>
  </si>
  <si>
    <t xml:space="preserve">Bucket 1 — Analyst efficiency: hours your team gets back from automated triage and investigation.</t>
  </si>
  <si>
    <t xml:space="preserve">Bucket 2 — Breach-cost avoidance: expected loss removed by faster detection and response.</t>
  </si>
  <si>
    <t xml:space="preserve">Bucket 3 — Operational savings: reduced turnover, tool consolidation, and overtime.</t>
  </si>
  <si>
    <t xml:space="preserve">ROI % = (Bucket 1 + Bucket 2 + Bucket 3 − AI SOC investment) / AI SOC investment.</t>
  </si>
  <si>
    <t xml:space="preserve">CFO note: Bucket 1 + 3 are cost savings (income statement). Bucket 2 is cost avoidance (risk). Keep them separate.</t>
  </si>
  <si>
    <t xml:space="preserve">Validate against your environment:</t>
  </si>
  <si>
    <t xml:space="preserve">Get a free SOC assessment →  underdefense.com/contact</t>
  </si>
  <si>
    <t xml:space="preserve">See a live walkthrough →  underdefense.com/book-a-personal-demo</t>
  </si>
  <si>
    <t xml:space="preserve">Not a quote. Estimates from your inputs and published benchmarks for budgeting discussions.</t>
  </si>
  <si>
    <t xml:space="preserve">Inputs</t>
  </si>
  <si>
    <t xml:space="preserve">Change the yellow cells. Blue = editable input. Source notes in column E.</t>
  </si>
  <si>
    <t xml:space="preserve">Bucket 1 — Analyst efficiency</t>
  </si>
  <si>
    <t xml:space="preserve">SOC analysts (FTE)</t>
  </si>
  <si>
    <t xml:space="preserve">Analysts whose triage/investigation load AI reduces</t>
  </si>
  <si>
    <t xml:space="preserve">Hours saved per analyst per day</t>
  </si>
  <si>
    <t xml:space="preserve">Industry consensus 3–5 hrs with agentic triage</t>
  </si>
  <si>
    <t xml:space="preserve">Fully-loaded analyst cost ($/hour)</t>
  </si>
  <si>
    <t xml:space="preserve">~$99K loaded / 2,080 hrs ≈ $48; higher in CA/NY/DC</t>
  </si>
  <si>
    <t xml:space="preserve">Working days per year</t>
  </si>
  <si>
    <t xml:space="preserve">Standard work-year</t>
  </si>
  <si>
    <t xml:space="preserve">Bucket 2 — Breach-cost avoidance</t>
  </si>
  <si>
    <t xml:space="preserve">Annual breach probability (%)</t>
  </si>
  <si>
    <t xml:space="preserve">Your assessed likelihood of a material breach</t>
  </si>
  <si>
    <t xml:space="preserve">Average breach cost ($)</t>
  </si>
  <si>
    <t xml:space="preserve">IBM 2025 global avg $4.44M; US avg $10.22M</t>
  </si>
  <si>
    <t xml:space="preserve">Risk reduction from AI SOC (%)</t>
  </si>
  <si>
    <t xml:space="preserve">Faster detection/response; conservative 40%</t>
  </si>
  <si>
    <t xml:space="preserve">Bucket 3 — Operational savings</t>
  </si>
  <si>
    <t xml:space="preserve">Operational savings ($/yr)</t>
  </si>
  <si>
    <t xml:space="preserve">Turnover reduction, tool consolidation, overtime</t>
  </si>
  <si>
    <t xml:space="preserve">Investment</t>
  </si>
  <si>
    <t xml:space="preserve">Total AI SOC investment ($/yr)</t>
  </si>
  <si>
    <t xml:space="preserve">Platform + service, all-in annual</t>
  </si>
  <si>
    <t xml:space="preserve">ROI Model — Three Buckets</t>
  </si>
  <si>
    <t xml:space="preserve">Component</t>
  </si>
  <si>
    <t xml:space="preserve">Value</t>
  </si>
  <si>
    <t xml:space="preserve">Formula</t>
  </si>
  <si>
    <t xml:space="preserve">Bucket 1 · Analyst efficiency savings</t>
  </si>
  <si>
    <t xml:space="preserve">analysts × hrs/day × $/hr × days</t>
  </si>
  <si>
    <t xml:space="preserve">Bucket 2 · Breach-cost avoidance</t>
  </si>
  <si>
    <t xml:space="preserve">probability × breach cost × risk reduction</t>
  </si>
  <si>
    <t xml:space="preserve">Bucket 3 · Operational savings</t>
  </si>
  <si>
    <t xml:space="preserve">turnover, consolidation, overtime</t>
  </si>
  <si>
    <t xml:space="preserve">Total annual benefit</t>
  </si>
  <si>
    <t xml:space="preserve">sum of three buckets</t>
  </si>
  <si>
    <t xml:space="preserve">AI SOC investment</t>
  </si>
  <si>
    <t xml:space="preserve">all-in annual cost</t>
  </si>
  <si>
    <t xml:space="preserve">Net annual benefit</t>
  </si>
  <si>
    <t xml:space="preserve">total benefit − investment</t>
  </si>
  <si>
    <t xml:space="preserve">ROI</t>
  </si>
  <si>
    <t xml:space="preserve">net benefit / investment</t>
  </si>
  <si>
    <t xml:space="preserve">CFO split</t>
  </si>
  <si>
    <t xml:space="preserve">Cost savings (income statement)</t>
  </si>
  <si>
    <t xml:space="preserve">Buckets 1 + 3 — real dollars you stop spending</t>
  </si>
  <si>
    <t xml:space="preserve">Cost avoidance (risk reduction)</t>
  </si>
  <si>
    <t xml:space="preserve">Bucket 2 — loss you never incur</t>
  </si>
  <si>
    <t xml:space="preserve">Illustrative. Plug in your own numbers; breach probability and analyst utilization carry the most variance.</t>
  </si>
  <si>
    <t xml:space="preserve">Efficiency Metrics That Map to ROI</t>
  </si>
  <si>
    <t xml:space="preserve">Typical before/after benchmarks. Use to sanity-check your inputs.</t>
  </si>
  <si>
    <t xml:space="preserve">Metric</t>
  </si>
  <si>
    <t xml:space="preserve">Traditional SOC</t>
  </si>
  <si>
    <t xml:space="preserve">With AI SOC</t>
  </si>
  <si>
    <t xml:space="preserve">MTTR (mean time to respond)</t>
  </si>
  <si>
    <t xml:space="preserve">60–90 min</t>
  </si>
  <si>
    <t xml:space="preserve">&lt; 15 min</t>
  </si>
  <si>
    <t xml:space="preserve">MTTI (mean time to investigate)</t>
  </si>
  <si>
    <t xml:space="preserve">25–45 min/alert</t>
  </si>
  <si>
    <t xml:space="preserve">~4 min</t>
  </si>
  <si>
    <t xml:space="preserve">Cost per alert</t>
  </si>
  <si>
    <t xml:space="preserve">$15–$35 (manual)</t>
  </si>
  <si>
    <t xml:space="preserve">$1–$5 (automated)</t>
  </si>
  <si>
    <t xml:space="preserve">False-positive reduction</t>
  </si>
  <si>
    <t xml:space="preserve">50–70% FP rate</t>
  </si>
  <si>
    <t xml:space="preserve">up to ~90% lower</t>
  </si>
  <si>
    <t xml:space="preserve">Tier-1 alerts auto-handled</t>
  </si>
  <si>
    <t xml:space="preserve">—</t>
  </si>
  <si>
    <t xml:space="preserve">70–90%</t>
  </si>
  <si>
    <t xml:space="preserve">Noise reduction (UnderDefense)</t>
  </si>
  <si>
    <t xml:space="preserve">~99%</t>
  </si>
  <si>
    <t xml:space="preserve">MITRE ATT&amp;CK coverage (UnderDefense)</t>
  </si>
  <si>
    <t xml:space="preserve">96%</t>
  </si>
  <si>
    <t xml:space="preserve">Benchmarks from published industry research; UnderDefense figures from documented operations.</t>
  </si>
  <si>
    <t xml:space="preserve">Summary</t>
  </si>
  <si>
    <t xml:space="preserve">The numbers for the budget conversation.</t>
  </si>
  <si>
    <t xml:space="preserve">Analyst efficiency savings</t>
  </si>
  <si>
    <t xml:space="preserve">Breach-cost avoidance</t>
  </si>
  <si>
    <t xml:space="preserve">Validate against your real stack and alert volume:</t>
  </si>
  <si>
    <t xml:space="preserve">Free SOC assessment →  underdefense.com/contact</t>
  </si>
  <si>
    <t xml:space="preserve">Live walkthrough →  underdefense.com/book-a-personal-demo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</si>
</sst>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\$#,##0"/>
    <numFmt numFmtId="168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37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3"/>
      <color rgb="FFFF7102"/>
      <name val="Arial"/>
      <family val="0"/>
      <charset val="1"/>
    </font>
    <font>
      <sz val="11"/>
      <color rgb="FF374151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b val="true"/>
      <u val="single"/>
      <sz val="11"/>
      <color rgb="FFFF7102"/>
      <name val="Arial"/>
      <family val="0"/>
      <charset val="1"/>
    </font>
    <font>
      <i val="true"/>
      <sz val="9"/>
      <color rgb="FF9CA3AF"/>
      <name val="Arial"/>
      <family val="0"/>
      <charset val="1"/>
    </font>
    <font>
      <b val="true"/>
      <sz val="18"/>
      <color rgb="FF1F2A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7C3AED"/>
      <name val="Arial"/>
      <family val="0"/>
      <charset val="1"/>
    </font>
    <font>
      <sz val="11"/>
      <color rgb="FF0285AA"/>
      <name val="Arial"/>
      <family val="0"/>
      <charset val="1"/>
    </font>
    <font>
      <b val="true"/>
      <sz val="14"/>
      <color rgb="FF16A34A"/>
      <name val="Arial"/>
      <family val="0"/>
      <charset val="1"/>
    </font>
    <font>
      <b val="true"/>
      <sz val="14"/>
      <color rgb="FFFF7102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6"/>
      <color rgb="FF16A34A"/>
      <name val="Arial"/>
      <family val="0"/>
      <charset val="1"/>
    </font>
    <font>
      <b val="true"/>
      <sz val="16"/>
      <color rgb="FFFF7102"/>
      <name val="Arial"/>
      <family val="0"/>
      <charset val="1"/>
    </font>
    <font>
      <b val="true"/>
      <sz val="16"/>
      <color rgb="FF7C3AED"/>
      <name val="Arial"/>
      <family val="0"/>
      <charset val="1"/>
    </font>
    <font>
      <b val="true"/>
      <sz val="16"/>
      <color rgb="FF0285AA"/>
      <name val="Arial"/>
      <family val="0"/>
      <charset val="1"/>
    </font>
    <font>
      <b val="true"/>
      <sz val="16"/>
      <color rgb="FF1F2A3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5AA"/>
      <rgbColor rgb="FFC0C0C0"/>
      <rgbColor rgb="FF808080"/>
      <rgbColor rgb="FF9999FF"/>
      <rgbColor rgb="FF7C3AED"/>
      <rgbColor rgb="FFFFF3CD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102"/>
      <rgbColor rgb="FF6B7280"/>
      <rgbColor rgb="FF9CA3AF"/>
      <rgbColor rgb="FF003366"/>
      <rgbColor rgb="FF16A34A"/>
      <rgbColor rgb="FF003300"/>
      <rgbColor rgb="FF333300"/>
      <rgbColor rgb="FF993300"/>
      <rgbColor rgb="FF993366"/>
      <rgbColor rgb="FF374151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nderdefense.com/contact/" TargetMode="External"/><Relationship Id="rId2" Type="http://schemas.openxmlformats.org/officeDocument/2006/relationships/hyperlink" Target="https://underdefense.com/book-a-personal-demo-24-7-mdr-and-response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underdefense.com/contact/" TargetMode="External"/><Relationship Id="rId2" Type="http://schemas.openxmlformats.org/officeDocument/2006/relationships/hyperlink" Target="https://underdefense.com/book-a-personal-demo-24-7-mdr-and-respons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3" min="3" style="0" width="4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</row>
    <row r="7" customFormat="false" ht="27.75" hidden="false" customHeight="true" outlineLevel="0" collapsed="false">
      <c r="B7" s="4" t="s">
        <v>4</v>
      </c>
    </row>
    <row r="8" customFormat="false" ht="27.75" hidden="false" customHeight="true" outlineLevel="0" collapsed="false">
      <c r="B8" s="4" t="s">
        <v>5</v>
      </c>
    </row>
    <row r="9" customFormat="false" ht="27.75" hidden="false" customHeight="true" outlineLevel="0" collapsed="false">
      <c r="B9" s="4" t="s">
        <v>6</v>
      </c>
    </row>
    <row r="11" customFormat="false" ht="16.15" hidden="false" customHeight="false" outlineLevel="0" collapsed="false">
      <c r="B11" s="3" t="s">
        <v>7</v>
      </c>
    </row>
    <row r="12" customFormat="false" ht="21.75" hidden="false" customHeight="true" outlineLevel="0" collapsed="false">
      <c r="B12" s="4" t="s">
        <v>8</v>
      </c>
    </row>
    <row r="13" customFormat="false" ht="21.75" hidden="false" customHeight="true" outlineLevel="0" collapsed="false">
      <c r="B13" s="4" t="s">
        <v>9</v>
      </c>
    </row>
    <row r="14" customFormat="false" ht="21.75" hidden="false" customHeight="true" outlineLevel="0" collapsed="false">
      <c r="B14" s="4" t="s">
        <v>10</v>
      </c>
    </row>
    <row r="15" customFormat="false" ht="21.75" hidden="false" customHeight="true" outlineLevel="0" collapsed="false">
      <c r="B15" s="4" t="s">
        <v>11</v>
      </c>
    </row>
    <row r="17" customFormat="false" ht="30" hidden="false" customHeight="true" outlineLevel="0" collapsed="false">
      <c r="B17" s="5" t="s">
        <v>12</v>
      </c>
    </row>
    <row r="19" customFormat="false" ht="15" hidden="false" customHeight="false" outlineLevel="0" collapsed="false">
      <c r="B19" s="6" t="s">
        <v>13</v>
      </c>
    </row>
    <row r="20" customFormat="false" ht="15" hidden="false" customHeight="false" outlineLevel="0" collapsed="false">
      <c r="B20" s="7" t="s">
        <v>14</v>
      </c>
    </row>
    <row r="21" customFormat="false" ht="15" hidden="false" customHeight="false" outlineLevel="0" collapsed="false">
      <c r="B21" s="7" t="s">
        <v>15</v>
      </c>
    </row>
    <row r="23" customFormat="false" ht="15" hidden="false" customHeight="false" outlineLevel="0" collapsed="false">
      <c r="B23" s="8" t="s">
        <v>16</v>
      </c>
    </row>
  </sheetData>
  <hyperlinks>
    <hyperlink ref="B20" r:id="rId1" display="Get a free SOC assessment →  underdefense.com/contact"/>
    <hyperlink ref="B21" r:id="rId2" display="See a live walkthrough →  underdefense.com/book-a-personal-dem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54"/>
  </cols>
  <sheetData>
    <row r="2" customFormat="false" ht="22.05" hidden="false" customHeight="false" outlineLevel="0" collapsed="false">
      <c r="B2" s="9" t="s">
        <v>17</v>
      </c>
    </row>
    <row r="3" customFormat="false" ht="15" hidden="false" customHeight="false" outlineLevel="0" collapsed="false">
      <c r="B3" s="10" t="s">
        <v>18</v>
      </c>
    </row>
    <row r="5" customFormat="false" ht="21.75" hidden="false" customHeight="true" outlineLevel="0" collapsed="false">
      <c r="B5" s="11" t="s">
        <v>19</v>
      </c>
      <c r="C5" s="11"/>
      <c r="D5" s="11"/>
      <c r="E5" s="11"/>
    </row>
    <row r="6" customFormat="false" ht="15" hidden="false" customHeight="false" outlineLevel="0" collapsed="false">
      <c r="B6" s="12" t="s">
        <v>20</v>
      </c>
      <c r="C6" s="13" t="n">
        <v>8</v>
      </c>
      <c r="D6" s="14"/>
      <c r="E6" s="15" t="s">
        <v>21</v>
      </c>
    </row>
    <row r="7" customFormat="false" ht="15" hidden="false" customHeight="false" outlineLevel="0" collapsed="false">
      <c r="B7" s="12" t="s">
        <v>22</v>
      </c>
      <c r="C7" s="16" t="n">
        <v>4</v>
      </c>
      <c r="D7" s="14"/>
      <c r="E7" s="15" t="s">
        <v>23</v>
      </c>
    </row>
    <row r="8" customFormat="false" ht="15" hidden="false" customHeight="false" outlineLevel="0" collapsed="false">
      <c r="B8" s="12" t="s">
        <v>24</v>
      </c>
      <c r="C8" s="17" t="n">
        <v>48</v>
      </c>
      <c r="D8" s="14"/>
      <c r="E8" s="15" t="s">
        <v>25</v>
      </c>
    </row>
    <row r="9" customFormat="false" ht="15" hidden="false" customHeight="false" outlineLevel="0" collapsed="false">
      <c r="B9" s="12" t="s">
        <v>26</v>
      </c>
      <c r="C9" s="13" t="n">
        <v>260</v>
      </c>
      <c r="D9" s="14"/>
      <c r="E9" s="15" t="s">
        <v>27</v>
      </c>
    </row>
    <row r="11" customFormat="false" ht="21.75" hidden="false" customHeight="true" outlineLevel="0" collapsed="false">
      <c r="B11" s="11" t="s">
        <v>28</v>
      </c>
      <c r="C11" s="11"/>
      <c r="D11" s="11"/>
      <c r="E11" s="11"/>
    </row>
    <row r="12" customFormat="false" ht="15" hidden="false" customHeight="false" outlineLevel="0" collapsed="false">
      <c r="B12" s="12" t="s">
        <v>29</v>
      </c>
      <c r="C12" s="18" t="n">
        <v>0.15</v>
      </c>
      <c r="D12" s="14"/>
      <c r="E12" s="15" t="s">
        <v>30</v>
      </c>
    </row>
    <row r="13" customFormat="false" ht="15" hidden="false" customHeight="false" outlineLevel="0" collapsed="false">
      <c r="B13" s="12" t="s">
        <v>31</v>
      </c>
      <c r="C13" s="17" t="n">
        <v>4440000</v>
      </c>
      <c r="D13" s="14"/>
      <c r="E13" s="15" t="s">
        <v>32</v>
      </c>
    </row>
    <row r="14" customFormat="false" ht="15" hidden="false" customHeight="false" outlineLevel="0" collapsed="false">
      <c r="B14" s="12" t="s">
        <v>33</v>
      </c>
      <c r="C14" s="18" t="n">
        <v>0.4</v>
      </c>
      <c r="D14" s="14"/>
      <c r="E14" s="15" t="s">
        <v>34</v>
      </c>
    </row>
    <row r="16" customFormat="false" ht="21.75" hidden="false" customHeight="true" outlineLevel="0" collapsed="false">
      <c r="B16" s="11" t="s">
        <v>35</v>
      </c>
      <c r="C16" s="11"/>
      <c r="D16" s="11"/>
      <c r="E16" s="11"/>
    </row>
    <row r="17" customFormat="false" ht="15" hidden="false" customHeight="false" outlineLevel="0" collapsed="false">
      <c r="B17" s="12" t="s">
        <v>36</v>
      </c>
      <c r="C17" s="17" t="n">
        <v>120000</v>
      </c>
      <c r="D17" s="14"/>
      <c r="E17" s="15" t="s">
        <v>37</v>
      </c>
    </row>
    <row r="19" customFormat="false" ht="21.75" hidden="false" customHeight="true" outlineLevel="0" collapsed="false">
      <c r="B19" s="11" t="s">
        <v>38</v>
      </c>
      <c r="C19" s="11"/>
      <c r="D19" s="11"/>
      <c r="E19" s="11"/>
    </row>
    <row r="20" customFormat="false" ht="15" hidden="false" customHeight="false" outlineLevel="0" collapsed="false">
      <c r="B20" s="12" t="s">
        <v>39</v>
      </c>
      <c r="C20" s="17" t="n">
        <v>300000</v>
      </c>
      <c r="D20" s="14"/>
      <c r="E20" s="15" t="s">
        <v>40</v>
      </c>
    </row>
  </sheetData>
  <mergeCells count="4">
    <mergeCell ref="B5:E5"/>
    <mergeCell ref="B11:E11"/>
    <mergeCell ref="B16:E16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48"/>
  </cols>
  <sheetData>
    <row r="2" customFormat="false" ht="22.05" hidden="false" customHeight="false" outlineLevel="0" collapsed="false">
      <c r="B2" s="9" t="s">
        <v>41</v>
      </c>
    </row>
    <row r="4" customFormat="false" ht="15" hidden="false" customHeight="false" outlineLevel="0" collapsed="false">
      <c r="B4" s="19" t="s">
        <v>42</v>
      </c>
      <c r="C4" s="20" t="s">
        <v>43</v>
      </c>
      <c r="D4" s="19" t="s">
        <v>44</v>
      </c>
    </row>
    <row r="5" customFormat="false" ht="15" hidden="false" customHeight="false" outlineLevel="0" collapsed="false">
      <c r="B5" s="12" t="s">
        <v>45</v>
      </c>
      <c r="C5" s="21" t="n">
        <f aca="false">Inputs!C6*Inputs!C7*Inputs!C8*Inputs!C9</f>
        <v>399360</v>
      </c>
      <c r="D5" s="15" t="s">
        <v>46</v>
      </c>
    </row>
    <row r="6" customFormat="false" ht="15" hidden="false" customHeight="false" outlineLevel="0" collapsed="false">
      <c r="B6" s="12" t="s">
        <v>47</v>
      </c>
      <c r="C6" s="22" t="n">
        <f aca="false">Inputs!C12*Inputs!C13*Inputs!C14</f>
        <v>266400</v>
      </c>
      <c r="D6" s="15" t="s">
        <v>48</v>
      </c>
    </row>
    <row r="7" customFormat="false" ht="15" hidden="false" customHeight="false" outlineLevel="0" collapsed="false">
      <c r="B7" s="12" t="s">
        <v>49</v>
      </c>
      <c r="C7" s="22" t="n">
        <f aca="false">Inputs!C17</f>
        <v>120000</v>
      </c>
      <c r="D7" s="15" t="s">
        <v>50</v>
      </c>
    </row>
    <row r="8" customFormat="false" ht="17.35" hidden="false" customHeight="false" outlineLevel="0" collapsed="false">
      <c r="B8" s="12" t="s">
        <v>51</v>
      </c>
      <c r="C8" s="23" t="n">
        <f aca="false">C5+C6+C7</f>
        <v>785760</v>
      </c>
      <c r="D8" s="15" t="s">
        <v>52</v>
      </c>
    </row>
    <row r="9" customFormat="false" ht="15" hidden="false" customHeight="false" outlineLevel="0" collapsed="false">
      <c r="B9" s="12" t="s">
        <v>53</v>
      </c>
      <c r="C9" s="24" t="n">
        <f aca="false">Inputs!C20</f>
        <v>300000</v>
      </c>
      <c r="D9" s="15" t="s">
        <v>54</v>
      </c>
    </row>
    <row r="10" customFormat="false" ht="17.35" hidden="false" customHeight="false" outlineLevel="0" collapsed="false">
      <c r="B10" s="12" t="s">
        <v>55</v>
      </c>
      <c r="C10" s="23" t="n">
        <f aca="false">C8-C9</f>
        <v>485760</v>
      </c>
      <c r="D10" s="15" t="s">
        <v>56</v>
      </c>
    </row>
    <row r="11" customFormat="false" ht="17.35" hidden="false" customHeight="false" outlineLevel="0" collapsed="false">
      <c r="B11" s="12" t="s">
        <v>57</v>
      </c>
      <c r="C11" s="25" t="n">
        <f aca="false">(C8-C9)/C9</f>
        <v>1.6192</v>
      </c>
      <c r="D11" s="15" t="s">
        <v>58</v>
      </c>
    </row>
    <row r="13" customFormat="false" ht="15" hidden="false" customHeight="false" outlineLevel="0" collapsed="false">
      <c r="B13" s="6" t="s">
        <v>59</v>
      </c>
    </row>
    <row r="14" customFormat="false" ht="15" hidden="false" customHeight="false" outlineLevel="0" collapsed="false">
      <c r="B14" s="12" t="s">
        <v>60</v>
      </c>
      <c r="C14" s="24" t="n">
        <f aca="false">C5+C7</f>
        <v>519360</v>
      </c>
      <c r="D14" s="15" t="s">
        <v>61</v>
      </c>
    </row>
    <row r="15" customFormat="false" ht="15" hidden="false" customHeight="false" outlineLevel="0" collapsed="false">
      <c r="B15" s="12" t="s">
        <v>62</v>
      </c>
      <c r="C15" s="24" t="n">
        <f aca="false">C6</f>
        <v>266400</v>
      </c>
      <c r="D15" s="15" t="s">
        <v>63</v>
      </c>
    </row>
    <row r="17" customFormat="false" ht="15" hidden="false" customHeight="true" outlineLevel="0" collapsed="false">
      <c r="B17" s="26" t="s">
        <v>64</v>
      </c>
      <c r="C17" s="26"/>
      <c r="D17" s="26"/>
    </row>
  </sheetData>
  <mergeCells count="1"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22"/>
  </cols>
  <sheetData>
    <row r="2" customFormat="false" ht="22.05" hidden="false" customHeight="false" outlineLevel="0" collapsed="false">
      <c r="B2" s="9" t="s">
        <v>65</v>
      </c>
    </row>
    <row r="3" customFormat="false" ht="15" hidden="false" customHeight="false" outlineLevel="0" collapsed="false">
      <c r="B3" s="10" t="s">
        <v>66</v>
      </c>
    </row>
    <row r="5" customFormat="false" ht="15" hidden="false" customHeight="false" outlineLevel="0" collapsed="false">
      <c r="B5" s="19" t="s">
        <v>67</v>
      </c>
      <c r="C5" s="19" t="s">
        <v>68</v>
      </c>
      <c r="D5" s="19" t="s">
        <v>69</v>
      </c>
    </row>
    <row r="6" customFormat="false" ht="15" hidden="false" customHeight="false" outlineLevel="0" collapsed="false">
      <c r="B6" s="12" t="s">
        <v>70</v>
      </c>
      <c r="C6" s="27" t="s">
        <v>71</v>
      </c>
      <c r="D6" s="28" t="s">
        <v>72</v>
      </c>
    </row>
    <row r="7" customFormat="false" ht="15" hidden="false" customHeight="false" outlineLevel="0" collapsed="false">
      <c r="B7" s="12" t="s">
        <v>73</v>
      </c>
      <c r="C7" s="27" t="s">
        <v>74</v>
      </c>
      <c r="D7" s="28" t="s">
        <v>75</v>
      </c>
    </row>
    <row r="8" customFormat="false" ht="15" hidden="false" customHeight="false" outlineLevel="0" collapsed="false">
      <c r="B8" s="12" t="s">
        <v>76</v>
      </c>
      <c r="C8" s="27" t="s">
        <v>77</v>
      </c>
      <c r="D8" s="28" t="s">
        <v>78</v>
      </c>
    </row>
    <row r="9" customFormat="false" ht="15" hidden="false" customHeight="false" outlineLevel="0" collapsed="false">
      <c r="B9" s="12" t="s">
        <v>79</v>
      </c>
      <c r="C9" s="27" t="s">
        <v>80</v>
      </c>
      <c r="D9" s="28" t="s">
        <v>81</v>
      </c>
    </row>
    <row r="10" customFormat="false" ht="15" hidden="false" customHeight="false" outlineLevel="0" collapsed="false">
      <c r="B10" s="12" t="s">
        <v>82</v>
      </c>
      <c r="C10" s="27" t="s">
        <v>83</v>
      </c>
      <c r="D10" s="28" t="s">
        <v>84</v>
      </c>
    </row>
    <row r="11" customFormat="false" ht="15" hidden="false" customHeight="false" outlineLevel="0" collapsed="false">
      <c r="B11" s="12" t="s">
        <v>85</v>
      </c>
      <c r="C11" s="27" t="s">
        <v>83</v>
      </c>
      <c r="D11" s="28" t="s">
        <v>86</v>
      </c>
    </row>
    <row r="12" customFormat="false" ht="15" hidden="false" customHeight="false" outlineLevel="0" collapsed="false">
      <c r="B12" s="12" t="s">
        <v>87</v>
      </c>
      <c r="C12" s="27" t="s">
        <v>83</v>
      </c>
      <c r="D12" s="28" t="s">
        <v>88</v>
      </c>
    </row>
    <row r="14" customFormat="false" ht="15" hidden="false" customHeight="true" outlineLevel="0" collapsed="false">
      <c r="B14" s="26" t="s">
        <v>89</v>
      </c>
      <c r="C14" s="26"/>
      <c r="D14" s="26"/>
    </row>
  </sheetData>
  <mergeCells count="1"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6"/>
  </cols>
  <sheetData>
    <row r="2" customFormat="false" ht="22.05" hidden="false" customHeight="false" outlineLevel="0" collapsed="false">
      <c r="B2" s="9" t="s">
        <v>90</v>
      </c>
    </row>
    <row r="3" customFormat="false" ht="15" hidden="false" customHeight="false" outlineLevel="0" collapsed="false">
      <c r="B3" s="10" t="s">
        <v>91</v>
      </c>
    </row>
    <row r="5" customFormat="false" ht="30" hidden="false" customHeight="true" outlineLevel="0" collapsed="false">
      <c r="B5" s="29" t="s">
        <v>51</v>
      </c>
      <c r="C5" s="30" t="n">
        <f aca="false">'ROI Model'!C8</f>
        <v>785760</v>
      </c>
    </row>
    <row r="6" customFormat="false" ht="30" hidden="false" customHeight="true" outlineLevel="0" collapsed="false">
      <c r="B6" s="29" t="s">
        <v>55</v>
      </c>
      <c r="C6" s="30" t="n">
        <f aca="false">'ROI Model'!C10</f>
        <v>485760</v>
      </c>
    </row>
    <row r="7" customFormat="false" ht="30" hidden="false" customHeight="true" outlineLevel="0" collapsed="false">
      <c r="B7" s="29" t="s">
        <v>57</v>
      </c>
      <c r="C7" s="31" t="n">
        <f aca="false">'ROI Model'!C11</f>
        <v>1.6192</v>
      </c>
    </row>
    <row r="8" customFormat="false" ht="30" hidden="false" customHeight="true" outlineLevel="0" collapsed="false">
      <c r="B8" s="29" t="s">
        <v>92</v>
      </c>
      <c r="C8" s="32" t="n">
        <f aca="false">'ROI Model'!C5</f>
        <v>399360</v>
      </c>
    </row>
    <row r="9" customFormat="false" ht="30" hidden="false" customHeight="true" outlineLevel="0" collapsed="false">
      <c r="B9" s="29" t="s">
        <v>93</v>
      </c>
      <c r="C9" s="33" t="n">
        <f aca="false">'ROI Model'!C6</f>
        <v>266400</v>
      </c>
    </row>
    <row r="10" customFormat="false" ht="30" hidden="false" customHeight="true" outlineLevel="0" collapsed="false">
      <c r="B10" s="29" t="s">
        <v>53</v>
      </c>
      <c r="C10" s="34" t="n">
        <f aca="false">'ROI Model'!C9</f>
        <v>300000</v>
      </c>
    </row>
    <row r="12" customFormat="false" ht="15" hidden="false" customHeight="false" outlineLevel="0" collapsed="false">
      <c r="B12" s="6" t="s">
        <v>94</v>
      </c>
    </row>
    <row r="13" customFormat="false" ht="15" hidden="false" customHeight="false" outlineLevel="0" collapsed="false">
      <c r="B13" s="7" t="s">
        <v>95</v>
      </c>
    </row>
    <row r="14" customFormat="false" ht="15" hidden="false" customHeight="false" outlineLevel="0" collapsed="false">
      <c r="B14" s="7" t="s">
        <v>96</v>
      </c>
    </row>
  </sheetData>
  <hyperlinks>
    <hyperlink ref="B13" r:id="rId1" display="Free SOC assessment →  underdefense.com/contact"/>
    <hyperlink ref="B14" r:id="rId2" display="Live walkthrough →  underdefense.com/book-a-personal-dem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2026-06-04T08:42:25Z</dcterms:created>
  <dc:creator>openpyxl</dc:creator>
  <dc:description/>
  <dc:language>en-US</dc:language>
  <cp:lastModifiedBy/>
  <dcterms:modified xsi:type="dcterms:W3CDTF">2026-06-04T08:42:25Z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